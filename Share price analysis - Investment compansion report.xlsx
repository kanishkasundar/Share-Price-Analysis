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3" sheetId="1" r:id="rId4"/>
  </sheets>
  <definedNames/>
  <calcPr/>
  <extLst>
    <ext uri="GoogleSheetsCustomDataVersion2">
      <go:sheetsCustomData xmlns:go="http://customooxmlschemas.google.com/" r:id="rId5" roundtripDataChecksum="Gu7o+FJojHgq2Wi86Gq3BzbMXFt+Dk2kunfW2l8wPxU="/>
    </ext>
  </extLst>
</workbook>
</file>

<file path=xl/sharedStrings.xml><?xml version="1.0" encoding="utf-8"?>
<sst xmlns="http://schemas.openxmlformats.org/spreadsheetml/2006/main" count="37" uniqueCount="26">
  <si>
    <t xml:space="preserve">HISTORICAL SHARE PRICE ANALYSIS </t>
  </si>
  <si>
    <t>COMPANY</t>
  </si>
  <si>
    <t xml:space="preserve">CURRENT PRICE </t>
  </si>
  <si>
    <t>1 YEAR AGO</t>
  </si>
  <si>
    <t>2 YEAR AGO</t>
  </si>
  <si>
    <t>3 YEAR AGO</t>
  </si>
  <si>
    <t xml:space="preserve">4 YEAR AGO </t>
  </si>
  <si>
    <t>5 YEAR AGO</t>
  </si>
  <si>
    <t>Reliance industries</t>
  </si>
  <si>
    <t>TATA consultancy</t>
  </si>
  <si>
    <t>HDFC Bank</t>
  </si>
  <si>
    <t>Infosys</t>
  </si>
  <si>
    <t>Bharti Airtel</t>
  </si>
  <si>
    <t>VALUE OF Rs. 1,00,000 INVESTMENT TODAY</t>
  </si>
  <si>
    <t>AMOUNT INVESTED</t>
  </si>
  <si>
    <t>4 YEAR AGO</t>
  </si>
  <si>
    <t>COMPARISON WITH FIXED RETURN INVESTMENT</t>
  </si>
  <si>
    <t>INVESTMENT TYPE</t>
  </si>
  <si>
    <t>1ST YEAR</t>
  </si>
  <si>
    <t>2ND YEAR</t>
  </si>
  <si>
    <t>3RD YEAR</t>
  </si>
  <si>
    <t>4TH YEAR</t>
  </si>
  <si>
    <t>5TH YEAR</t>
  </si>
  <si>
    <t>Saving (3%)</t>
  </si>
  <si>
    <t>Fixed Deposit (7%)</t>
  </si>
  <si>
    <t>Best performing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</si>
</sst>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Times New Roman"/>
    </font>
    <font/>
    <font>
      <sz val="11.0"/>
      <color theme="1"/>
      <name val="Times New Roman"/>
    </font>
    <font>
      <b/>
      <sz val="11.0"/>
      <color theme="1"/>
      <name val="Times New Roman"/>
    </font>
    <font>
      <b/>
      <sz val="14.0"/>
      <color rgb="FF000000"/>
      <name val="&quot;Times New Roman&quot;"/>
    </font>
    <font>
      <b/>
      <sz val="12.0"/>
      <color rgb="FF000000"/>
      <name val="&quot;Times New Roman&quot;"/>
    </font>
    <font>
      <sz val="11.0"/>
      <color rgb="FF000000"/>
      <name val="&quot;Times New Roman&quot;"/>
    </font>
    <font>
      <b/>
      <sz val="11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Border="1" applyFont="1"/>
    <xf borderId="4" fillId="0" fontId="4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Alignment="1" applyBorder="1" applyFont="1">
      <alignment shrinkToFit="0" wrapText="1"/>
    </xf>
    <xf borderId="4" fillId="0" fontId="3" numFmtId="4" xfId="0" applyAlignment="1" applyBorder="1" applyFont="1" applyNumberFormat="1">
      <alignment horizontal="right" shrinkToFit="0" wrapText="1"/>
    </xf>
    <xf borderId="7" fillId="0" fontId="3" numFmtId="4" xfId="0" applyBorder="1" applyFont="1" applyNumberFormat="1"/>
    <xf borderId="4" fillId="0" fontId="3" numFmtId="4" xfId="0" applyBorder="1" applyFont="1" applyNumberFormat="1"/>
    <xf borderId="4" fillId="0" fontId="3" numFmtId="3" xfId="0" applyAlignment="1" applyBorder="1" applyFont="1" applyNumberFormat="1">
      <alignment horizontal="right" shrinkToFit="0" wrapText="1"/>
    </xf>
    <xf borderId="4" fillId="0" fontId="3" numFmtId="0" xfId="0" applyAlignment="1" applyBorder="1" applyFont="1">
      <alignment horizontal="right" shrinkToFit="0" wrapText="1"/>
    </xf>
    <xf borderId="7" fillId="0" fontId="3" numFmtId="0" xfId="0" applyBorder="1" applyFont="1"/>
    <xf borderId="8" fillId="0" fontId="3" numFmtId="0" xfId="0" applyBorder="1" applyFont="1"/>
    <xf borderId="1" fillId="2" fontId="5" numFmtId="0" xfId="0" applyAlignment="1" applyBorder="1" applyFill="1" applyFont="1">
      <alignment horizontal="center" readingOrder="0" shrinkToFit="0" wrapText="0"/>
    </xf>
    <xf borderId="9" fillId="0" fontId="2" numFmtId="0" xfId="0" applyBorder="1" applyFont="1"/>
    <xf borderId="10" fillId="0" fontId="2" numFmtId="0" xfId="0" applyBorder="1" applyFont="1"/>
    <xf borderId="4" fillId="2" fontId="6" numFmtId="0" xfId="0" applyAlignment="1" applyBorder="1" applyFont="1">
      <alignment horizontal="center" readingOrder="0" shrinkToFit="0" vertical="bottom" wrapText="0"/>
    </xf>
    <xf borderId="4" fillId="2" fontId="7" numFmtId="0" xfId="0" applyAlignment="1" applyBorder="1" applyFont="1">
      <alignment shrinkToFit="0" vertical="bottom" wrapText="0"/>
    </xf>
    <xf borderId="4" fillId="2" fontId="3" numFmtId="0" xfId="0" applyAlignment="1" applyBorder="1" applyFont="1">
      <alignment shrinkToFit="0" wrapText="1"/>
    </xf>
    <xf borderId="4" fillId="2" fontId="7" numFmtId="0" xfId="0" applyAlignment="1" applyBorder="1" applyFont="1">
      <alignment horizontal="center" readingOrder="0" shrinkToFit="0" vertical="bottom" wrapText="0"/>
    </xf>
    <xf borderId="0" fillId="2" fontId="7" numFmtId="0" xfId="0" applyAlignment="1" applyFont="1">
      <alignment shrinkToFit="0" vertical="bottom" wrapText="0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8" fillId="2" fontId="8" numFmtId="0" xfId="0" applyAlignment="1" applyBorder="1" applyFont="1">
      <alignment horizontal="center" readingOrder="0" shrinkToFit="0" vertical="bottom" wrapText="0"/>
    </xf>
    <xf borderId="13" fillId="2" fontId="8" numFmtId="0" xfId="0" applyAlignment="1" applyBorder="1" applyFont="1">
      <alignment horizontal="center" readingOrder="0" shrinkToFit="0" vertical="bottom" wrapText="0"/>
    </xf>
    <xf borderId="8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4" fillId="2" fontId="7" numFmtId="0" xfId="0" applyAlignment="1" applyBorder="1" applyFont="1">
      <alignment horizontal="right" readingOrder="0" shrinkToFit="0" vertical="bottom" wrapText="0"/>
    </xf>
    <xf borderId="13" fillId="2" fontId="7" numFmtId="0" xfId="0" applyAlignment="1" applyBorder="1" applyFont="1">
      <alignment horizontal="right" readingOrder="0" shrinkToFit="0" vertical="bottom" wrapText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6.57"/>
    <col customWidth="1" min="3" max="4" width="18.43"/>
    <col customWidth="1" min="5" max="5" width="18.86"/>
    <col customWidth="1" min="6" max="6" width="18.14"/>
    <col customWidth="1" min="7" max="7" width="19.57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>
        <v>2026.0</v>
      </c>
      <c r="C2" s="6">
        <v>2025.0</v>
      </c>
      <c r="D2" s="6">
        <v>2024.0</v>
      </c>
      <c r="E2" s="6">
        <v>2023.0</v>
      </c>
      <c r="F2" s="6">
        <v>2022.0</v>
      </c>
      <c r="G2" s="6">
        <v>2021.0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/>
      <c r="B4" s="7"/>
      <c r="C4" s="5"/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8</v>
      </c>
      <c r="B5" s="9">
        <v>1302.2</v>
      </c>
      <c r="C5" s="10">
        <v>1559.2</v>
      </c>
      <c r="D5" s="10">
        <v>1221.05</v>
      </c>
      <c r="E5" s="11">
        <v>1292.47</v>
      </c>
      <c r="F5" s="11">
        <v>1273.6</v>
      </c>
      <c r="G5" s="11">
        <v>1184.08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9</v>
      </c>
      <c r="B6" s="12">
        <v>2094.0</v>
      </c>
      <c r="C6" s="10">
        <v>3280.0</v>
      </c>
      <c r="D6" s="11">
        <v>4164.85</v>
      </c>
      <c r="E6" s="11">
        <v>3793.4</v>
      </c>
      <c r="F6" s="11">
        <v>3256.7</v>
      </c>
      <c r="G6" s="11">
        <v>3738.35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10</v>
      </c>
      <c r="B7" s="13">
        <v>797.05</v>
      </c>
      <c r="C7" s="14">
        <v>992.1</v>
      </c>
      <c r="D7" s="5">
        <v>899.13</v>
      </c>
      <c r="E7" s="5">
        <v>854.63</v>
      </c>
      <c r="F7" s="5">
        <v>814.08</v>
      </c>
      <c r="G7" s="5">
        <v>739.7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11</v>
      </c>
      <c r="B8" s="12">
        <v>1034.0</v>
      </c>
      <c r="C8" s="10">
        <v>1656.1</v>
      </c>
      <c r="D8" s="11">
        <v>1916.75</v>
      </c>
      <c r="E8" s="11">
        <v>1542.9</v>
      </c>
      <c r="F8" s="11">
        <v>1508.2</v>
      </c>
      <c r="G8" s="11">
        <v>1887.75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12</v>
      </c>
      <c r="B9" s="12">
        <v>1846.0</v>
      </c>
      <c r="C9" s="10">
        <v>2105.4</v>
      </c>
      <c r="D9" s="11">
        <v>1599.85</v>
      </c>
      <c r="E9" s="11">
        <v>1032.2</v>
      </c>
      <c r="F9" s="5">
        <v>806.1</v>
      </c>
      <c r="G9" s="5">
        <v>683.8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B10" s="15"/>
      <c r="C10" s="5"/>
      <c r="D10" s="5"/>
      <c r="E10" s="5"/>
      <c r="F10" s="5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 t="s">
        <v>13</v>
      </c>
      <c r="B12" s="2"/>
      <c r="C12" s="2"/>
      <c r="D12" s="2"/>
      <c r="E12" s="2"/>
      <c r="F12" s="2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/>
      <c r="G13" s="1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9" t="s">
        <v>1</v>
      </c>
      <c r="B14" s="19" t="s">
        <v>14</v>
      </c>
      <c r="C14" s="19" t="s">
        <v>3</v>
      </c>
      <c r="D14" s="19" t="s">
        <v>4</v>
      </c>
      <c r="E14" s="19" t="s">
        <v>5</v>
      </c>
      <c r="F14" s="19" t="s">
        <v>15</v>
      </c>
      <c r="G14" s="19" t="s">
        <v>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/>
      <c r="B15" s="20"/>
      <c r="C15" s="20"/>
      <c r="D15" s="20"/>
      <c r="E15" s="20"/>
      <c r="F15" s="20"/>
      <c r="G15" s="2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1" t="s">
        <v>8</v>
      </c>
      <c r="B16" s="22">
        <v>100000.0</v>
      </c>
      <c r="C16" s="22">
        <f t="shared" ref="C16:C20" si="1">B16*B5/C5</f>
        <v>83517.1883</v>
      </c>
      <c r="D16" s="22">
        <f t="shared" ref="D16:D20" si="2">B16*B5/D5</f>
        <v>106645.9195</v>
      </c>
      <c r="E16" s="22">
        <f t="shared" ref="E16:E20" si="3">B16*B5/E5</f>
        <v>100752.8221</v>
      </c>
      <c r="F16" s="22">
        <f t="shared" ref="F16:F20" si="4">B16*B5/F5</f>
        <v>102245.603</v>
      </c>
      <c r="G16" s="22">
        <f t="shared" ref="G16:G20" si="5">B16*B5/G5</f>
        <v>109975.6773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1" t="s">
        <v>9</v>
      </c>
      <c r="B17" s="22">
        <v>100000.0</v>
      </c>
      <c r="C17" s="22">
        <f t="shared" si="1"/>
        <v>63841.46341</v>
      </c>
      <c r="D17" s="22">
        <f t="shared" si="2"/>
        <v>50277.92117</v>
      </c>
      <c r="E17" s="22">
        <f t="shared" si="3"/>
        <v>55201.13882</v>
      </c>
      <c r="F17" s="22">
        <f t="shared" si="4"/>
        <v>64298.21599</v>
      </c>
      <c r="G17" s="22">
        <f t="shared" si="5"/>
        <v>56014.01688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1" t="s">
        <v>10</v>
      </c>
      <c r="B18" s="22">
        <v>100000.0</v>
      </c>
      <c r="C18" s="22">
        <f t="shared" si="1"/>
        <v>80339.6835</v>
      </c>
      <c r="D18" s="22">
        <f t="shared" si="2"/>
        <v>88646.80302</v>
      </c>
      <c r="E18" s="22">
        <f t="shared" si="3"/>
        <v>93262.58147</v>
      </c>
      <c r="F18" s="22">
        <f t="shared" si="4"/>
        <v>97908.068</v>
      </c>
      <c r="G18" s="22">
        <f t="shared" si="5"/>
        <v>107753.1432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1" t="s">
        <v>11</v>
      </c>
      <c r="B19" s="22">
        <v>100000.0</v>
      </c>
      <c r="C19" s="22">
        <f t="shared" si="1"/>
        <v>62435.84325</v>
      </c>
      <c r="D19" s="22">
        <f t="shared" si="2"/>
        <v>53945.48063</v>
      </c>
      <c r="E19" s="22">
        <f t="shared" si="3"/>
        <v>67016.65694</v>
      </c>
      <c r="F19" s="22">
        <f t="shared" si="4"/>
        <v>68558.54661</v>
      </c>
      <c r="G19" s="22">
        <f t="shared" si="5"/>
        <v>54774.20209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1" t="s">
        <v>12</v>
      </c>
      <c r="B20" s="22">
        <v>100000.0</v>
      </c>
      <c r="C20" s="22">
        <f t="shared" si="1"/>
        <v>87679.30085</v>
      </c>
      <c r="D20" s="22">
        <f t="shared" si="2"/>
        <v>115385.8174</v>
      </c>
      <c r="E20" s="22">
        <f t="shared" si="3"/>
        <v>178841.3098</v>
      </c>
      <c r="F20" s="22">
        <f t="shared" si="4"/>
        <v>229003.8457</v>
      </c>
      <c r="G20" s="22">
        <f t="shared" si="5"/>
        <v>269961.9772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3"/>
      <c r="B21" s="23"/>
      <c r="C21" s="23"/>
      <c r="D21" s="23"/>
      <c r="E21" s="23"/>
      <c r="F21" s="23"/>
      <c r="G21" s="2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3"/>
      <c r="B22" s="23"/>
      <c r="C22" s="23"/>
      <c r="D22" s="23"/>
      <c r="E22" s="23"/>
      <c r="F22" s="23"/>
      <c r="G22" s="2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6" t="s">
        <v>16</v>
      </c>
      <c r="B23" s="2"/>
      <c r="C23" s="2"/>
      <c r="D23" s="2"/>
      <c r="E23" s="2"/>
      <c r="F23" s="2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4"/>
      <c r="B24" s="25"/>
      <c r="C24" s="25"/>
      <c r="D24" s="25"/>
      <c r="E24" s="25"/>
      <c r="F24" s="25"/>
      <c r="G24" s="2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7" t="s">
        <v>17</v>
      </c>
      <c r="B25" s="28" t="s">
        <v>14</v>
      </c>
      <c r="C25" s="28" t="s">
        <v>18</v>
      </c>
      <c r="D25" s="28" t="s">
        <v>19</v>
      </c>
      <c r="E25" s="28" t="s">
        <v>20</v>
      </c>
      <c r="F25" s="28" t="s">
        <v>21</v>
      </c>
      <c r="G25" s="28" t="s">
        <v>22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9"/>
      <c r="B26" s="20"/>
      <c r="C26" s="20"/>
      <c r="D26" s="20"/>
      <c r="E26" s="20"/>
      <c r="F26" s="20"/>
      <c r="G26" s="3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1" t="s">
        <v>23</v>
      </c>
      <c r="B27" s="22">
        <v>100000.0</v>
      </c>
      <c r="C27" s="32">
        <f>B27*(1+3%*1)</f>
        <v>103000</v>
      </c>
      <c r="D27" s="32">
        <f>B27*(1+3%*2)</f>
        <v>106000</v>
      </c>
      <c r="E27" s="32">
        <f>B27*(1+3%*3)</f>
        <v>109000</v>
      </c>
      <c r="F27" s="32">
        <f>B27*(1+3%*4)</f>
        <v>112000</v>
      </c>
      <c r="G27" s="32">
        <f>B27*(1+3%*5)</f>
        <v>115000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1" t="s">
        <v>24</v>
      </c>
      <c r="B28" s="22">
        <v>100000.0</v>
      </c>
      <c r="C28" s="32">
        <f>B28*(1+7%*1)</f>
        <v>107000</v>
      </c>
      <c r="D28" s="32">
        <f>B28*(1+7%*2)</f>
        <v>114000</v>
      </c>
      <c r="E28" s="32">
        <f>B28*(1+7%*2)</f>
        <v>114000</v>
      </c>
      <c r="F28" s="32">
        <f>B28*(1+7%*4)</f>
        <v>128000</v>
      </c>
      <c r="G28" s="33">
        <f>B28*(1+7%*5)</f>
        <v>135000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1" t="s">
        <v>25</v>
      </c>
      <c r="B29" s="20"/>
      <c r="C29" s="22">
        <f t="shared" ref="C29:G29" si="6">C17</f>
        <v>63841.46341</v>
      </c>
      <c r="D29" s="22">
        <f t="shared" si="6"/>
        <v>50277.92117</v>
      </c>
      <c r="E29" s="22">
        <f t="shared" si="6"/>
        <v>55201.13882</v>
      </c>
      <c r="F29" s="22">
        <f t="shared" si="6"/>
        <v>64298.21599</v>
      </c>
      <c r="G29" s="22">
        <f t="shared" si="6"/>
        <v>56014.01688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9"/>
      <c r="B30" s="30"/>
      <c r="C30" s="30"/>
      <c r="D30" s="30"/>
      <c r="E30" s="30"/>
      <c r="F30" s="30"/>
      <c r="G30" s="3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4"/>
      <c r="B31" s="34"/>
      <c r="C31" s="34"/>
      <c r="D31" s="34"/>
      <c r="E31" s="34"/>
      <c r="F31" s="34"/>
      <c r="G31" s="3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2:G13"/>
    <mergeCell ref="A23:G2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2026-07-02T03:16:35Z</dcterms:created>
  <dc:creator>user</dc:creator>
</cp:coreProperties>
</file>